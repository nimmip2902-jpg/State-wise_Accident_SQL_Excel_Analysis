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mmiSql File\"/>
    </mc:Choice>
  </mc:AlternateContent>
  <xr:revisionPtr revIDLastSave="0" documentId="13_ncr:1_{FCDD28AD-8CE3-46BD-9C51-22926F793638}" xr6:coauthVersionLast="47" xr6:coauthVersionMax="47" xr10:uidLastSave="{00000000-0000-0000-0000-000000000000}"/>
  <bookViews>
    <workbookView xWindow="-108" yWindow="-108" windowWidth="30936" windowHeight="12456" xr2:uid="{23F9C012-6CC3-4EF1-A0E5-65609228E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" i="1" l="1"/>
  <c r="M30" i="1"/>
  <c r="C30" i="1"/>
  <c r="D30" i="1"/>
  <c r="E30" i="1"/>
  <c r="F30" i="1"/>
  <c r="G30" i="1"/>
  <c r="H30" i="1"/>
  <c r="I30" i="1"/>
  <c r="J30" i="1"/>
  <c r="K30" i="1"/>
  <c r="B30" i="1"/>
</calcChain>
</file>

<file path=xl/sharedStrings.xml><?xml version="1.0" encoding="utf-8"?>
<sst xmlns="http://schemas.openxmlformats.org/spreadsheetml/2006/main" count="42" uniqueCount="42">
  <si>
    <t>State/UT/City</t>
  </si>
  <si>
    <t>Road Accidents - Cases</t>
  </si>
  <si>
    <t>Road Accidents - Injured</t>
  </si>
  <si>
    <t>Road Accidents - Died</t>
  </si>
  <si>
    <t>Railway Accidents - Cases</t>
  </si>
  <si>
    <t>Railway Accidents - Injured</t>
  </si>
  <si>
    <t>Railway Accidents - Died</t>
  </si>
  <si>
    <t>Railway Crossing Accidents - Cases</t>
  </si>
  <si>
    <t>Railway Crossing Accidents - Injured</t>
  </si>
  <si>
    <t>Railway Crossing Accidents - Died</t>
  </si>
  <si>
    <t>Total Traffic Accidents - Cases</t>
  </si>
  <si>
    <t>Total Traffic Accidents - Injured</t>
  </si>
  <si>
    <t>Total Traffic Accidents - Died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</si>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</sst>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FA3669-B0FA-4D03-AB3E-EA9DBD6A66EF}" name="Table2" displayName="Table2" ref="A1:M30" totalsRowCount="1" headerRowDxfId="0">
  <autoFilter ref="A1:M29" xr:uid="{02FA3669-B0FA-4D03-AB3E-EA9DBD6A66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37B748D-345C-41E9-A6F8-33D88B99C08D}" name="State/UT/City" totalsRowLabel="Total"/>
    <tableColumn id="2" xr3:uid="{BA0D90FC-E430-417F-8B3F-057AF39C8938}" name="Road Accidents - Cases" totalsRowFunction="custom">
      <totalsRowFormula>SUM(B4:B29)</totalsRowFormula>
    </tableColumn>
    <tableColumn id="3" xr3:uid="{448D0ECE-02D1-4147-9B4D-4472C427F5BF}" name="Road Accidents - Injured" totalsRowFunction="custom">
      <totalsRowFormula>SUM(C4:C29)</totalsRowFormula>
    </tableColumn>
    <tableColumn id="4" xr3:uid="{3C2732CC-B91F-46D7-BAB9-FEF374F5A8F1}" name="Road Accidents - Died" totalsRowFunction="custom">
      <totalsRowFormula>SUM(D4:D29)</totalsRowFormula>
    </tableColumn>
    <tableColumn id="5" xr3:uid="{A08B0B45-4E16-47C3-A753-749530A881CB}" name="Railway Accidents - Cases" totalsRowFunction="custom">
      <totalsRowFormula>SUM(E4:E29)</totalsRowFormula>
    </tableColumn>
    <tableColumn id="6" xr3:uid="{CC474274-C103-4BE0-8E90-416258703B9E}" name="Railway Accidents - Injured" totalsRowFunction="custom">
      <totalsRowFormula>SUM(F4:F29)</totalsRowFormula>
    </tableColumn>
    <tableColumn id="7" xr3:uid="{A6DED179-C9DF-454D-BB43-8A2F0C1A597B}" name="Railway Accidents - Died" totalsRowFunction="custom">
      <totalsRowFormula>SUM(G4:G29)</totalsRowFormula>
    </tableColumn>
    <tableColumn id="8" xr3:uid="{1DA38AA8-E36C-4B21-B37F-1E42EC65C3B3}" name="Railway Crossing Accidents - Cases" totalsRowFunction="custom">
      <totalsRowFormula>SUM(H4:H29)</totalsRowFormula>
    </tableColumn>
    <tableColumn id="9" xr3:uid="{0FC9D415-E68A-41D9-B243-B272F9CDF3E0}" name="Railway Crossing Accidents - Injured" totalsRowFunction="custom">
      <totalsRowFormula>SUM(I4:I29)</totalsRowFormula>
    </tableColumn>
    <tableColumn id="10" xr3:uid="{D90086B8-6E30-4F20-8063-0F1276474BD6}" name="Railway Crossing Accidents - Died" totalsRowFunction="custom">
      <totalsRowFormula>SUM(J4:J29)</totalsRowFormula>
    </tableColumn>
    <tableColumn id="11" xr3:uid="{5257599D-A8D6-43C2-A027-4B2E41EF88F5}" name="Total Traffic Accidents - Cases" totalsRowFunction="custom">
      <totalsRowFormula>SUM(K4:K29)</totalsRowFormula>
    </tableColumn>
    <tableColumn id="12" xr3:uid="{965F5031-BE69-4EB8-9115-56596DBF9973}" name="Total Traffic Accidents - Injured" totalsRowFunction="custom">
      <totalsRowFormula>SUM(L4:L29)</totalsRowFormula>
    </tableColumn>
    <tableColumn id="13" xr3:uid="{FD136A92-C1A6-4B85-A541-22AF5BE7B46E}" name="Total Traffic Accidents - Died" totalsRowFunction="custom">
      <totalsRowFormula>SUM(M4:M29)</totalsRowFormula>
    </tableColumn>
  </tableColumns>
  <tableStyleInfo name="TableStyleLight10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3037-7E49-4836-8D0D-D43DEAA419BC}">
  <dimension ref="A1:O30"/>
  <sheetViews>
    <sheetView tabSelected="1" topLeftCell="E1" workbookViewId="0">
      <selection activeCell="B30" sqref="B30:M30"/>
    </sheetView>
  </sheetViews>
  <sheetFormatPr defaultRowHeight="14.4" x14ac:dyDescent="0.3"/>
  <cols>
    <col min="1" max="1" width="14.5546875" customWidth="1"/>
    <col min="2" max="2" width="22" customWidth="1"/>
    <col min="3" max="3" width="23.44140625" customWidth="1"/>
    <col min="4" max="4" width="21.109375" customWidth="1"/>
    <col min="5" max="5" width="24.109375" customWidth="1"/>
    <col min="6" max="6" width="25.5546875" customWidth="1"/>
    <col min="7" max="7" width="23.21875" customWidth="1"/>
    <col min="8" max="8" width="31.5546875" customWidth="1"/>
    <col min="9" max="9" width="33" customWidth="1"/>
    <col min="10" max="10" width="30.6640625" customWidth="1"/>
    <col min="11" max="11" width="27.6640625" customWidth="1"/>
    <col min="12" max="12" width="29.109375" customWidth="1"/>
    <col min="13" max="13" width="26.77734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</row>
    <row r="2" spans="1:15" x14ac:dyDescent="0.3">
      <c r="A2" t="s">
        <v>13</v>
      </c>
      <c r="B2">
        <v>21070</v>
      </c>
      <c r="C2">
        <v>21340</v>
      </c>
      <c r="D2">
        <v>8293</v>
      </c>
      <c r="E2">
        <v>1029</v>
      </c>
      <c r="F2">
        <v>0</v>
      </c>
      <c r="G2">
        <v>1037</v>
      </c>
      <c r="H2">
        <v>0</v>
      </c>
      <c r="I2">
        <v>0</v>
      </c>
      <c r="J2">
        <v>0</v>
      </c>
      <c r="K2">
        <v>22099</v>
      </c>
      <c r="L2">
        <v>21340</v>
      </c>
      <c r="M2">
        <v>9330</v>
      </c>
    </row>
    <row r="3" spans="1:15" x14ac:dyDescent="0.3">
      <c r="A3" t="s">
        <v>14</v>
      </c>
      <c r="B3">
        <v>215</v>
      </c>
      <c r="C3">
        <v>177</v>
      </c>
      <c r="D3">
        <v>152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215</v>
      </c>
      <c r="L3">
        <v>177</v>
      </c>
      <c r="M3">
        <v>152</v>
      </c>
    </row>
    <row r="4" spans="1:15" x14ac:dyDescent="0.3">
      <c r="A4" t="s">
        <v>15</v>
      </c>
      <c r="B4">
        <v>7028</v>
      </c>
      <c r="C4">
        <v>5679</v>
      </c>
      <c r="D4">
        <v>3060</v>
      </c>
      <c r="E4">
        <v>689</v>
      </c>
      <c r="F4">
        <v>0</v>
      </c>
      <c r="G4">
        <v>693</v>
      </c>
      <c r="H4">
        <v>22</v>
      </c>
      <c r="I4">
        <v>0</v>
      </c>
      <c r="J4">
        <v>22</v>
      </c>
      <c r="K4">
        <v>7739</v>
      </c>
      <c r="L4">
        <v>5679</v>
      </c>
      <c r="M4">
        <v>3775</v>
      </c>
    </row>
    <row r="5" spans="1:15" x14ac:dyDescent="0.3">
      <c r="A5" t="s">
        <v>16</v>
      </c>
      <c r="B5">
        <v>10801</v>
      </c>
      <c r="C5">
        <v>7068</v>
      </c>
      <c r="D5">
        <v>8898</v>
      </c>
      <c r="E5">
        <v>1444</v>
      </c>
      <c r="F5">
        <v>6</v>
      </c>
      <c r="G5">
        <v>1446</v>
      </c>
      <c r="H5">
        <v>52</v>
      </c>
      <c r="I5">
        <v>0</v>
      </c>
      <c r="J5">
        <v>53</v>
      </c>
      <c r="K5">
        <v>12297</v>
      </c>
      <c r="L5">
        <v>7074</v>
      </c>
      <c r="M5">
        <v>10397</v>
      </c>
    </row>
    <row r="6" spans="1:15" x14ac:dyDescent="0.3">
      <c r="A6" t="s">
        <v>17</v>
      </c>
      <c r="B6">
        <v>13091</v>
      </c>
      <c r="C6">
        <v>11459</v>
      </c>
      <c r="D6">
        <v>5890</v>
      </c>
      <c r="E6">
        <v>429</v>
      </c>
      <c r="F6">
        <v>21</v>
      </c>
      <c r="G6">
        <v>429</v>
      </c>
      <c r="H6">
        <v>4</v>
      </c>
      <c r="I6">
        <v>0</v>
      </c>
      <c r="J6">
        <v>4</v>
      </c>
      <c r="K6">
        <v>13524</v>
      </c>
      <c r="L6">
        <v>11480</v>
      </c>
      <c r="M6">
        <v>6323</v>
      </c>
    </row>
    <row r="7" spans="1:15" x14ac:dyDescent="0.3">
      <c r="A7" t="s">
        <v>18</v>
      </c>
      <c r="B7">
        <v>3012</v>
      </c>
      <c r="C7">
        <v>1071</v>
      </c>
      <c r="D7">
        <v>274</v>
      </c>
      <c r="E7">
        <v>54</v>
      </c>
      <c r="F7">
        <v>0</v>
      </c>
      <c r="G7">
        <v>54</v>
      </c>
      <c r="H7">
        <v>0</v>
      </c>
      <c r="I7">
        <v>0</v>
      </c>
      <c r="J7">
        <v>0</v>
      </c>
      <c r="K7">
        <v>3066</v>
      </c>
      <c r="L7">
        <v>1071</v>
      </c>
      <c r="M7">
        <v>328</v>
      </c>
    </row>
    <row r="8" spans="1:15" x14ac:dyDescent="0.3">
      <c r="A8" t="s">
        <v>19</v>
      </c>
      <c r="B8">
        <v>15777</v>
      </c>
      <c r="C8">
        <v>15139</v>
      </c>
      <c r="D8">
        <v>7634</v>
      </c>
      <c r="E8">
        <v>766</v>
      </c>
      <c r="F8">
        <v>0</v>
      </c>
      <c r="G8">
        <v>777</v>
      </c>
      <c r="H8">
        <v>6</v>
      </c>
      <c r="I8">
        <v>0</v>
      </c>
      <c r="J8">
        <v>6</v>
      </c>
      <c r="K8">
        <v>16549</v>
      </c>
      <c r="L8">
        <v>15139</v>
      </c>
      <c r="M8">
        <v>8417</v>
      </c>
    </row>
    <row r="9" spans="1:15" x14ac:dyDescent="0.3">
      <c r="A9" t="s">
        <v>20</v>
      </c>
      <c r="B9">
        <v>10654</v>
      </c>
      <c r="C9">
        <v>8353</v>
      </c>
      <c r="D9">
        <v>5228</v>
      </c>
      <c r="E9">
        <v>1127</v>
      </c>
      <c r="F9">
        <v>26</v>
      </c>
      <c r="G9">
        <v>1101</v>
      </c>
      <c r="H9">
        <v>95</v>
      </c>
      <c r="I9">
        <v>0</v>
      </c>
      <c r="J9">
        <v>95</v>
      </c>
      <c r="K9">
        <v>11876</v>
      </c>
      <c r="L9">
        <v>8379</v>
      </c>
      <c r="M9">
        <v>6424</v>
      </c>
    </row>
    <row r="10" spans="1:15" x14ac:dyDescent="0.3">
      <c r="A10" t="s">
        <v>21</v>
      </c>
      <c r="B10">
        <v>2484</v>
      </c>
      <c r="C10">
        <v>3891</v>
      </c>
      <c r="D10">
        <v>979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2484</v>
      </c>
      <c r="L10">
        <v>3891</v>
      </c>
      <c r="M10">
        <v>979</v>
      </c>
    </row>
    <row r="11" spans="1:15" x14ac:dyDescent="0.3">
      <c r="A11" t="s">
        <v>22</v>
      </c>
      <c r="B11">
        <v>5175</v>
      </c>
      <c r="C11">
        <v>3747</v>
      </c>
      <c r="D11">
        <v>3898</v>
      </c>
      <c r="E11">
        <v>362</v>
      </c>
      <c r="F11">
        <v>19</v>
      </c>
      <c r="G11">
        <v>346</v>
      </c>
      <c r="H11">
        <v>7</v>
      </c>
      <c r="I11">
        <v>0</v>
      </c>
      <c r="J11">
        <v>7</v>
      </c>
      <c r="K11">
        <v>5544</v>
      </c>
      <c r="L11">
        <v>3766</v>
      </c>
      <c r="M11">
        <v>4251</v>
      </c>
    </row>
    <row r="12" spans="1:15" x14ac:dyDescent="0.3">
      <c r="A12" t="s">
        <v>23</v>
      </c>
      <c r="B12">
        <v>39765</v>
      </c>
      <c r="C12">
        <v>48154</v>
      </c>
      <c r="D12">
        <v>11705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39765</v>
      </c>
      <c r="L12">
        <v>48154</v>
      </c>
      <c r="M12">
        <v>11705</v>
      </c>
    </row>
    <row r="13" spans="1:15" x14ac:dyDescent="0.3">
      <c r="A13" t="s">
        <v>24</v>
      </c>
      <c r="B13">
        <v>43592</v>
      </c>
      <c r="C13">
        <v>49317</v>
      </c>
      <c r="D13">
        <v>4317</v>
      </c>
      <c r="E13">
        <v>194</v>
      </c>
      <c r="F13">
        <v>0</v>
      </c>
      <c r="G13">
        <v>194</v>
      </c>
      <c r="H13">
        <v>184</v>
      </c>
      <c r="I13">
        <v>1</v>
      </c>
      <c r="J13">
        <v>185</v>
      </c>
      <c r="K13">
        <v>43970</v>
      </c>
      <c r="L13">
        <v>49318</v>
      </c>
      <c r="M13">
        <v>4696</v>
      </c>
    </row>
    <row r="14" spans="1:15" x14ac:dyDescent="0.3">
      <c r="A14" t="s">
        <v>25</v>
      </c>
      <c r="B14">
        <v>51965</v>
      </c>
      <c r="C14">
        <v>51264</v>
      </c>
      <c r="D14">
        <v>13918</v>
      </c>
      <c r="E14">
        <v>1275</v>
      </c>
      <c r="F14">
        <v>0</v>
      </c>
      <c r="G14">
        <v>1275</v>
      </c>
      <c r="H14">
        <v>239</v>
      </c>
      <c r="I14">
        <v>0</v>
      </c>
      <c r="J14">
        <v>239</v>
      </c>
      <c r="K14">
        <v>53479</v>
      </c>
      <c r="L14">
        <v>51264</v>
      </c>
      <c r="M14">
        <v>15432</v>
      </c>
    </row>
    <row r="15" spans="1:15" x14ac:dyDescent="0.3">
      <c r="A15" t="s">
        <v>26</v>
      </c>
      <c r="B15">
        <v>30546</v>
      </c>
      <c r="C15">
        <v>23878</v>
      </c>
      <c r="D15">
        <v>15748</v>
      </c>
      <c r="E15">
        <v>4827</v>
      </c>
      <c r="F15">
        <v>1686</v>
      </c>
      <c r="G15">
        <v>3145</v>
      </c>
      <c r="H15">
        <v>0</v>
      </c>
      <c r="I15">
        <v>0</v>
      </c>
      <c r="J15">
        <v>0</v>
      </c>
      <c r="K15">
        <v>35373</v>
      </c>
      <c r="L15">
        <v>25564</v>
      </c>
      <c r="M15">
        <v>18893</v>
      </c>
    </row>
    <row r="16" spans="1:15" x14ac:dyDescent="0.3">
      <c r="A16" t="s">
        <v>27</v>
      </c>
      <c r="B16">
        <v>508</v>
      </c>
      <c r="C16">
        <v>817</v>
      </c>
      <c r="D16">
        <v>127</v>
      </c>
      <c r="E16">
        <v>2</v>
      </c>
      <c r="F16">
        <v>0</v>
      </c>
      <c r="G16">
        <v>2</v>
      </c>
      <c r="H16">
        <v>0</v>
      </c>
      <c r="I16">
        <v>0</v>
      </c>
      <c r="J16">
        <v>0</v>
      </c>
      <c r="K16">
        <v>510</v>
      </c>
      <c r="L16">
        <v>817</v>
      </c>
      <c r="M16">
        <v>129</v>
      </c>
    </row>
    <row r="17" spans="1:13" x14ac:dyDescent="0.3">
      <c r="A17" t="s">
        <v>28</v>
      </c>
      <c r="B17">
        <v>246</v>
      </c>
      <c r="C17">
        <v>310</v>
      </c>
      <c r="D17">
        <v>162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246</v>
      </c>
      <c r="L17">
        <v>310</v>
      </c>
      <c r="M17">
        <v>162</v>
      </c>
    </row>
    <row r="18" spans="1:13" x14ac:dyDescent="0.3">
      <c r="A18" t="s">
        <v>29</v>
      </c>
      <c r="B18">
        <v>71</v>
      </c>
      <c r="C18">
        <v>28</v>
      </c>
      <c r="D18">
        <v>83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71</v>
      </c>
      <c r="L18">
        <v>28</v>
      </c>
      <c r="M18">
        <v>83</v>
      </c>
    </row>
    <row r="19" spans="1:13" x14ac:dyDescent="0.3">
      <c r="A19" t="s">
        <v>30</v>
      </c>
      <c r="B19">
        <v>24</v>
      </c>
      <c r="C19">
        <v>42</v>
      </c>
      <c r="D19">
        <v>22</v>
      </c>
      <c r="E19">
        <v>0</v>
      </c>
      <c r="F19">
        <v>0</v>
      </c>
      <c r="G19">
        <v>0</v>
      </c>
      <c r="H19">
        <v>5</v>
      </c>
      <c r="I19">
        <v>0</v>
      </c>
      <c r="J19">
        <v>5</v>
      </c>
      <c r="K19">
        <v>29</v>
      </c>
      <c r="L19">
        <v>42</v>
      </c>
      <c r="M19">
        <v>27</v>
      </c>
    </row>
    <row r="20" spans="1:13" x14ac:dyDescent="0.3">
      <c r="A20" t="s">
        <v>31</v>
      </c>
      <c r="B20">
        <v>11663</v>
      </c>
      <c r="C20">
        <v>10269</v>
      </c>
      <c r="D20">
        <v>5470</v>
      </c>
      <c r="E20">
        <v>27</v>
      </c>
      <c r="F20">
        <v>0</v>
      </c>
      <c r="G20">
        <v>27</v>
      </c>
      <c r="H20">
        <v>54</v>
      </c>
      <c r="I20">
        <v>54</v>
      </c>
      <c r="J20">
        <v>0</v>
      </c>
      <c r="K20">
        <v>11744</v>
      </c>
      <c r="L20">
        <v>10323</v>
      </c>
      <c r="M20">
        <v>5497</v>
      </c>
    </row>
    <row r="21" spans="1:13" x14ac:dyDescent="0.3">
      <c r="A21" t="s">
        <v>32</v>
      </c>
      <c r="B21">
        <v>6122</v>
      </c>
      <c r="C21">
        <v>3372</v>
      </c>
      <c r="D21">
        <v>4688</v>
      </c>
      <c r="E21">
        <v>978</v>
      </c>
      <c r="F21">
        <v>74</v>
      </c>
      <c r="G21">
        <v>914</v>
      </c>
      <c r="H21">
        <v>0</v>
      </c>
      <c r="I21">
        <v>0</v>
      </c>
      <c r="J21">
        <v>0</v>
      </c>
      <c r="K21">
        <v>7100</v>
      </c>
      <c r="L21">
        <v>3446</v>
      </c>
      <c r="M21">
        <v>5602</v>
      </c>
    </row>
    <row r="22" spans="1:13" x14ac:dyDescent="0.3">
      <c r="A22" t="s">
        <v>33</v>
      </c>
      <c r="B22">
        <v>23620</v>
      </c>
      <c r="C22">
        <v>22249</v>
      </c>
      <c r="D22">
        <v>11103</v>
      </c>
      <c r="E22">
        <v>942</v>
      </c>
      <c r="F22">
        <v>8</v>
      </c>
      <c r="G22">
        <v>943</v>
      </c>
      <c r="H22">
        <v>0</v>
      </c>
      <c r="I22">
        <v>0</v>
      </c>
      <c r="J22">
        <v>0</v>
      </c>
      <c r="K22">
        <v>24562</v>
      </c>
      <c r="L22">
        <v>22257</v>
      </c>
      <c r="M22">
        <v>12046</v>
      </c>
    </row>
    <row r="23" spans="1:13" x14ac:dyDescent="0.3">
      <c r="A23" t="s">
        <v>34</v>
      </c>
      <c r="B23">
        <v>199</v>
      </c>
      <c r="C23">
        <v>371</v>
      </c>
      <c r="D23">
        <v>98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199</v>
      </c>
      <c r="L23">
        <v>371</v>
      </c>
      <c r="M23">
        <v>98</v>
      </c>
    </row>
    <row r="24" spans="1:13" x14ac:dyDescent="0.3">
      <c r="A24" t="s">
        <v>35</v>
      </c>
      <c r="B24">
        <v>64105</v>
      </c>
      <c r="C24">
        <v>67703</v>
      </c>
      <c r="D24">
        <v>17884</v>
      </c>
      <c r="E24">
        <v>2012</v>
      </c>
      <c r="F24">
        <v>189</v>
      </c>
      <c r="G24">
        <v>1833</v>
      </c>
      <c r="H24">
        <v>0</v>
      </c>
      <c r="I24">
        <v>0</v>
      </c>
      <c r="J24">
        <v>0</v>
      </c>
      <c r="K24">
        <v>66117</v>
      </c>
      <c r="L24">
        <v>67892</v>
      </c>
      <c r="M24">
        <v>19717</v>
      </c>
    </row>
    <row r="25" spans="1:13" x14ac:dyDescent="0.3">
      <c r="A25" t="s">
        <v>36</v>
      </c>
      <c r="B25">
        <v>21619</v>
      </c>
      <c r="C25">
        <v>20209</v>
      </c>
      <c r="D25">
        <v>7559</v>
      </c>
      <c r="E25">
        <v>616</v>
      </c>
      <c r="F25">
        <v>0</v>
      </c>
      <c r="G25">
        <v>625</v>
      </c>
      <c r="H25">
        <v>0</v>
      </c>
      <c r="I25">
        <v>0</v>
      </c>
      <c r="J25">
        <v>0</v>
      </c>
      <c r="K25">
        <v>22235</v>
      </c>
      <c r="L25">
        <v>20209</v>
      </c>
      <c r="M25">
        <v>8184</v>
      </c>
    </row>
    <row r="26" spans="1:13" x14ac:dyDescent="0.3">
      <c r="A26" t="s">
        <v>37</v>
      </c>
      <c r="B26">
        <v>575</v>
      </c>
      <c r="C26">
        <v>541</v>
      </c>
      <c r="D26">
        <v>241</v>
      </c>
      <c r="E26">
        <v>27</v>
      </c>
      <c r="F26">
        <v>0</v>
      </c>
      <c r="G26">
        <v>27</v>
      </c>
      <c r="H26">
        <v>2</v>
      </c>
      <c r="I26">
        <v>0</v>
      </c>
      <c r="J26">
        <v>2</v>
      </c>
      <c r="K26">
        <v>604</v>
      </c>
      <c r="L26">
        <v>541</v>
      </c>
      <c r="M26">
        <v>270</v>
      </c>
    </row>
    <row r="27" spans="1:13" x14ac:dyDescent="0.3">
      <c r="A27" t="s">
        <v>38</v>
      </c>
      <c r="B27">
        <v>36875</v>
      </c>
      <c r="C27">
        <v>21696</v>
      </c>
      <c r="D27">
        <v>24109</v>
      </c>
      <c r="E27">
        <v>3190</v>
      </c>
      <c r="F27">
        <v>35</v>
      </c>
      <c r="G27">
        <v>3166</v>
      </c>
      <c r="H27">
        <v>1340</v>
      </c>
      <c r="I27">
        <v>4</v>
      </c>
      <c r="J27">
        <v>1340</v>
      </c>
      <c r="K27">
        <v>41405</v>
      </c>
      <c r="L27">
        <v>21735</v>
      </c>
      <c r="M27">
        <v>28615</v>
      </c>
    </row>
    <row r="28" spans="1:13" x14ac:dyDescent="0.3">
      <c r="A28" t="s">
        <v>39</v>
      </c>
      <c r="B28">
        <v>1674</v>
      </c>
      <c r="C28">
        <v>1613</v>
      </c>
      <c r="D28">
        <v>1042</v>
      </c>
      <c r="E28">
        <v>74</v>
      </c>
      <c r="F28">
        <v>0</v>
      </c>
      <c r="G28">
        <v>74</v>
      </c>
      <c r="H28">
        <v>1</v>
      </c>
      <c r="I28">
        <v>0</v>
      </c>
      <c r="J28">
        <v>1</v>
      </c>
      <c r="K28">
        <v>1749</v>
      </c>
      <c r="L28">
        <v>1613</v>
      </c>
      <c r="M28">
        <v>1117</v>
      </c>
    </row>
    <row r="29" spans="1:13" x14ac:dyDescent="0.3">
      <c r="A29" t="s">
        <v>40</v>
      </c>
      <c r="B29">
        <v>10635</v>
      </c>
      <c r="C29">
        <v>8124</v>
      </c>
      <c r="D29">
        <v>5788</v>
      </c>
      <c r="E29">
        <v>2221</v>
      </c>
      <c r="F29">
        <v>286</v>
      </c>
      <c r="G29">
        <v>1935</v>
      </c>
      <c r="H29">
        <v>546</v>
      </c>
      <c r="I29">
        <v>53</v>
      </c>
      <c r="J29">
        <v>493</v>
      </c>
      <c r="K29">
        <v>13402</v>
      </c>
      <c r="L29">
        <v>8463</v>
      </c>
      <c r="M29">
        <v>8216</v>
      </c>
    </row>
    <row r="30" spans="1:13" x14ac:dyDescent="0.3">
      <c r="A30" t="s">
        <v>41</v>
      </c>
      <c r="B30">
        <f>SUM(B4:B29)</f>
        <v>411826</v>
      </c>
      <c r="C30">
        <f t="shared" ref="C30:K30" si="0">SUM(C4:C29)</f>
        <v>386364</v>
      </c>
      <c r="D30">
        <f t="shared" si="0"/>
        <v>159925</v>
      </c>
      <c r="E30">
        <f t="shared" si="0"/>
        <v>21256</v>
      </c>
      <c r="F30">
        <f t="shared" si="0"/>
        <v>2350</v>
      </c>
      <c r="G30">
        <f t="shared" si="0"/>
        <v>19006</v>
      </c>
      <c r="H30">
        <f t="shared" si="0"/>
        <v>2557</v>
      </c>
      <c r="I30">
        <f t="shared" si="0"/>
        <v>112</v>
      </c>
      <c r="J30">
        <f t="shared" si="0"/>
        <v>2452</v>
      </c>
      <c r="K30">
        <f t="shared" si="0"/>
        <v>435639</v>
      </c>
      <c r="L30">
        <f>SUM(L4:L29)</f>
        <v>388826</v>
      </c>
      <c r="M30">
        <f t="shared" ref="M30" si="1">SUM(M4:M29)</f>
        <v>181383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Yotesh Kumar</dc:creator>
  <cp:lastModifiedBy>Yotesh Kumar</cp:lastModifiedBy>
  <dcterms:created xsi:type="dcterms:W3CDTF">2026-08-08T08:15:21Z</dcterms:created>
  <dcterms:modified xsi:type="dcterms:W3CDTF">2026-08-08T08:22:33Z</dcterms:modified>
</cp:coreProperties>
</file>